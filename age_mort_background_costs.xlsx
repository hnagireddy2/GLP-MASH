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filterPrivacy="1" defaultThemeVersion="123820"/>
  <xr:revisionPtr revIDLastSave="0" documentId="13_ncr:1_{D5572ADD-1AE1-B34E-B7E2-54D660C65E08}" xr6:coauthVersionLast="47" xr6:coauthVersionMax="47" xr10:uidLastSave="{00000000-0000-0000-0000-000000000000}"/>
  <bookViews>
    <workbookView xWindow="6300" yWindow="740" windowWidth="23100" windowHeight="15260" xr2:uid="{00000000-000D-0000-FFFF-FFFF00000000}"/>
  </bookViews>
  <sheets>
    <sheet name="Table 1" sheetId="1" r:id="rId1"/>
  </sheets>
  <definedNames>
    <definedName name="_xlnm.Print_Titles" localSheetId="0">'Table 1'!$1:$1</definedName>
  </definedNames>
  <calcPr calcId="191029" fullCalcOnLoad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</calcChain>
</file>

<file path=xl/sharedStrings.xml><?xml version="1.0" encoding="utf-8"?>
<sst xmlns="http://schemas.openxmlformats.org/spreadsheetml/2006/main" count="9" uniqueCount="9">
  <si>
    <t>age</t>
  </si>
  <si>
    <t>mean_background_cost_2019</t>
  </si>
  <si>
    <t>background_cost_low_ci_2019</t>
  </si>
  <si>
    <t>background_cost_high_ci_2019</t>
  </si>
  <si>
    <t>mean_background_cost_2025</t>
  </si>
  <si>
    <t>background_cost_low_ci_2025</t>
  </si>
  <si>
    <t>background_cost_high_ci_2025</t>
  </si>
  <si>
    <t>SOURCE: National Center Health Statistics (2024), Medical Expenditure Panel Survey</t>
  </si>
  <si>
    <t>background_mortality_prob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</si>
</sst>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sz val="12"/>
      <color rgb="FF212529"/>
      <name val="Verdana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" fontId="3" fillId="0" borderId="0" xfId="0" quotePrefix="1" applyNumberFormat="1" applyFont="1"/>
    <xf numFmtId="2" fontId="3" fillId="0" borderId="0" xfId="0" applyNumberFormat="1" applyFont="1" applyAlignment="1">
      <alignment vertical="top"/>
    </xf>
    <xf numFmtId="164" fontId="4" fillId="0" borderId="0" xfId="1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P104"/>
  <sheetViews>
    <sheetView tabSelected="1" zoomScaleNormal="100" workbookViewId="0">
      <selection activeCell="K18" sqref="K18"/>
    </sheetView>
  </sheetViews>
  <sheetFormatPr baseColWidth="10" defaultColWidth="9.5" defaultRowHeight="15" x14ac:dyDescent="0.2"/>
  <cols>
    <col min="1" max="2" width="14.6640625" customWidth="1"/>
    <col min="3" max="5" width="9.5" customWidth="1"/>
    <col min="15" max="15" width="19.6640625" customWidth="1"/>
    <col min="16" max="16" width="18.1640625" customWidth="1"/>
  </cols>
  <sheetData>
    <row r="1" spans="1:16" x14ac:dyDescent="0.2">
      <c r="A1" s="2" t="s">
        <v>0</v>
      </c>
      <c r="B1" s="7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6" x14ac:dyDescent="0.2">
      <c r="A2" s="3">
        <v>0</v>
      </c>
      <c r="B2" s="4">
        <v>5.5314125493168831E-3</v>
      </c>
      <c r="C2" s="6">
        <v>2061.7905869903002</v>
      </c>
      <c r="D2" s="6">
        <v>1553.29577636719</v>
      </c>
      <c r="E2" s="6">
        <v>2477.51806640625</v>
      </c>
      <c r="F2" s="10">
        <f>C2*(116/103)*(118.896/116.048)</f>
        <v>2379.002513621134</v>
      </c>
      <c r="G2" s="10">
        <f>D2*(116/103)*(118.896/116.048)</f>
        <v>1792.2744335392683</v>
      </c>
      <c r="H2" s="10">
        <f>E2*(116/103)*(118.896/116.048)</f>
        <v>2858.690763607589</v>
      </c>
    </row>
    <row r="3" spans="1:16" x14ac:dyDescent="0.2">
      <c r="A3" s="5">
        <v>1</v>
      </c>
      <c r="B3" s="4">
        <v>4.006756644230336E-4</v>
      </c>
      <c r="C3" s="6">
        <v>2045.00939723893</v>
      </c>
      <c r="D3" s="6">
        <v>1603.130859375</v>
      </c>
      <c r="E3" s="6">
        <v>2418.05004882812</v>
      </c>
      <c r="F3" s="10">
        <f t="shared" ref="F3:F66" si="0">C3*(116/103)*(118.896/116.048)</f>
        <v>2359.6394935103767</v>
      </c>
      <c r="G3" s="10">
        <f t="shared" ref="G3:G66" si="1">D3*(116/103)*(118.896/116.048)</f>
        <v>1849.7767756734238</v>
      </c>
      <c r="H3" s="10">
        <f t="shared" ref="H3:H66" si="2">E3*(116/103)*(118.896/116.048)</f>
        <v>2790.073434480602</v>
      </c>
    </row>
    <row r="4" spans="1:16" x14ac:dyDescent="0.2">
      <c r="A4" s="5">
        <v>2</v>
      </c>
      <c r="B4" s="4">
        <v>2.59958062088117E-4</v>
      </c>
      <c r="C4" s="6">
        <v>2034.2231277466899</v>
      </c>
      <c r="D4" s="6">
        <v>1656.10144042969</v>
      </c>
      <c r="E4" s="6">
        <v>2372.31201171875</v>
      </c>
      <c r="F4" s="10">
        <f t="shared" si="0"/>
        <v>2347.1937279721355</v>
      </c>
      <c r="G4" s="10">
        <f t="shared" si="1"/>
        <v>1910.8970205092648</v>
      </c>
      <c r="H4" s="10">
        <f t="shared" si="2"/>
        <v>2737.298479575931</v>
      </c>
    </row>
    <row r="5" spans="1:16" ht="16" x14ac:dyDescent="0.2">
      <c r="A5" s="5">
        <v>3</v>
      </c>
      <c r="B5" s="4">
        <v>2.0542620040941983E-4</v>
      </c>
      <c r="C5" s="6">
        <v>2029.5017692132301</v>
      </c>
      <c r="D5" s="6">
        <v>1706.75610351562</v>
      </c>
      <c r="E5" s="6">
        <v>2335.8779296875</v>
      </c>
      <c r="F5" s="10">
        <f t="shared" si="0"/>
        <v>2341.7459759600342</v>
      </c>
      <c r="G5" s="10">
        <f t="shared" si="1"/>
        <v>1969.3450372809245</v>
      </c>
      <c r="H5" s="10">
        <f t="shared" si="2"/>
        <v>2695.2589178082403</v>
      </c>
      <c r="O5" s="8"/>
      <c r="P5" s="8"/>
    </row>
    <row r="6" spans="1:16" ht="16" x14ac:dyDescent="0.2">
      <c r="A6" s="5">
        <v>4</v>
      </c>
      <c r="B6" s="4">
        <v>1.6599844093434513E-4</v>
      </c>
      <c r="C6" s="6">
        <v>2028.8828745522501</v>
      </c>
      <c r="D6" s="6">
        <v>1755.05554199219</v>
      </c>
      <c r="E6" s="6">
        <v>2306.58178710938</v>
      </c>
      <c r="F6" s="10">
        <f t="shared" si="0"/>
        <v>2341.031862721072</v>
      </c>
      <c r="G6" s="10">
        <f t="shared" si="1"/>
        <v>2025.0754719173449</v>
      </c>
      <c r="H6" s="10">
        <f t="shared" si="2"/>
        <v>2661.4554863285725</v>
      </c>
      <c r="O6" s="8"/>
      <c r="P6" s="8"/>
    </row>
    <row r="7" spans="1:16" x14ac:dyDescent="0.2">
      <c r="A7" s="5">
        <v>5</v>
      </c>
      <c r="B7" s="4">
        <v>1.4810157881584018E-4</v>
      </c>
      <c r="C7" s="6">
        <v>2032.0661865464399</v>
      </c>
      <c r="D7" s="6">
        <v>1784.36193847656</v>
      </c>
      <c r="E7" s="6">
        <v>2286.27001953125</v>
      </c>
      <c r="F7" s="10">
        <f t="shared" si="0"/>
        <v>2344.7049356721286</v>
      </c>
      <c r="G7" s="10">
        <f t="shared" si="1"/>
        <v>2058.890734893818</v>
      </c>
      <c r="H7" s="10">
        <f t="shared" si="2"/>
        <v>2638.0186996687803</v>
      </c>
    </row>
    <row r="8" spans="1:16" x14ac:dyDescent="0.2">
      <c r="A8" s="5">
        <v>6</v>
      </c>
      <c r="B8" s="4">
        <v>1.3545098772738129E-4</v>
      </c>
      <c r="C8" s="6">
        <v>2038.7114667974499</v>
      </c>
      <c r="D8" s="6">
        <v>1813.00915527344</v>
      </c>
      <c r="E8" s="6">
        <v>2274.20825195312</v>
      </c>
      <c r="F8" s="10">
        <f t="shared" si="0"/>
        <v>2352.3726098387606</v>
      </c>
      <c r="G8" s="10">
        <f t="shared" si="1"/>
        <v>2091.945401647104</v>
      </c>
      <c r="H8" s="10">
        <f t="shared" si="2"/>
        <v>2624.1011972957713</v>
      </c>
    </row>
    <row r="9" spans="1:16" x14ac:dyDescent="0.2">
      <c r="A9" s="5">
        <v>7</v>
      </c>
      <c r="B9" s="4">
        <v>1.2553126725833863E-4</v>
      </c>
      <c r="C9" s="6">
        <v>2049.4003798229401</v>
      </c>
      <c r="D9" s="6">
        <v>1842.30798339844</v>
      </c>
      <c r="E9" s="6">
        <v>2266.94995117188</v>
      </c>
      <c r="F9" s="10">
        <f t="shared" si="0"/>
        <v>2364.706040360741</v>
      </c>
      <c r="G9" s="10">
        <f t="shared" si="1"/>
        <v>2125.7519318521317</v>
      </c>
      <c r="H9" s="10">
        <f t="shared" si="2"/>
        <v>2615.7261877714554</v>
      </c>
    </row>
    <row r="10" spans="1:16" x14ac:dyDescent="0.2">
      <c r="A10" s="5">
        <v>8</v>
      </c>
      <c r="B10" s="4">
        <v>1.1483942944323644E-4</v>
      </c>
      <c r="C10" s="6">
        <v>2063.7797242114402</v>
      </c>
      <c r="D10" s="6">
        <v>1873.12182617188</v>
      </c>
      <c r="E10" s="6">
        <v>2264.24658203125</v>
      </c>
      <c r="F10" s="10">
        <f t="shared" si="0"/>
        <v>2381.297684856704</v>
      </c>
      <c r="G10" s="10">
        <f t="shared" si="1"/>
        <v>2161.3065657101456</v>
      </c>
      <c r="H10" s="10">
        <f t="shared" si="2"/>
        <v>2612.6068981494222</v>
      </c>
    </row>
    <row r="11" spans="1:16" x14ac:dyDescent="0.2">
      <c r="A11" s="5">
        <v>9</v>
      </c>
      <c r="B11" s="4">
        <v>1.0399524035165086E-4</v>
      </c>
      <c r="C11" s="6">
        <v>2081.9789575985301</v>
      </c>
      <c r="D11" s="6">
        <v>1906.1396484375</v>
      </c>
      <c r="E11" s="6">
        <v>2266.28540039062</v>
      </c>
      <c r="F11" s="10">
        <f t="shared" si="0"/>
        <v>2402.2969183613372</v>
      </c>
      <c r="G11" s="10">
        <f t="shared" si="1"/>
        <v>2199.4042671255297</v>
      </c>
      <c r="H11" s="10">
        <f t="shared" si="2"/>
        <v>2614.9593940975383</v>
      </c>
    </row>
    <row r="12" spans="1:16" x14ac:dyDescent="0.2">
      <c r="A12" s="5">
        <v>10</v>
      </c>
      <c r="B12" s="4">
        <v>9.7936666861642152E-5</v>
      </c>
      <c r="C12" s="6">
        <v>2104.5082762461402</v>
      </c>
      <c r="D12" s="6">
        <v>1941.91528320312</v>
      </c>
      <c r="E12" s="6">
        <v>2281.2626953125</v>
      </c>
      <c r="F12" s="10">
        <f t="shared" si="0"/>
        <v>2428.2924321788073</v>
      </c>
      <c r="G12" s="10">
        <f t="shared" si="1"/>
        <v>2240.684077776931</v>
      </c>
      <c r="H12" s="10">
        <f t="shared" si="2"/>
        <v>2632.2409853955223</v>
      </c>
    </row>
    <row r="13" spans="1:16" x14ac:dyDescent="0.2">
      <c r="A13" s="5">
        <v>11</v>
      </c>
      <c r="B13" s="4">
        <v>1.0541622759774327E-4</v>
      </c>
      <c r="C13" s="6">
        <v>2131.5012278593899</v>
      </c>
      <c r="D13" s="6">
        <v>1980.58044433594</v>
      </c>
      <c r="E13" s="6">
        <v>2303.99682617188</v>
      </c>
      <c r="F13" s="10">
        <f t="shared" si="0"/>
        <v>2459.438320681342</v>
      </c>
      <c r="G13" s="10">
        <f t="shared" si="1"/>
        <v>2285.297976057852</v>
      </c>
      <c r="H13" s="10">
        <f t="shared" si="2"/>
        <v>2658.4728223244156</v>
      </c>
    </row>
    <row r="14" spans="1:16" x14ac:dyDescent="0.2">
      <c r="A14" s="5">
        <v>12</v>
      </c>
      <c r="B14" s="4">
        <v>1.3654123176820576E-4</v>
      </c>
      <c r="C14" s="6">
        <v>2162.6220267414801</v>
      </c>
      <c r="D14" s="6">
        <v>2026.20971679688</v>
      </c>
      <c r="E14" s="6">
        <v>2330.744140625</v>
      </c>
      <c r="F14" s="10">
        <f t="shared" si="0"/>
        <v>2495.3471366559384</v>
      </c>
      <c r="G14" s="10">
        <f t="shared" si="1"/>
        <v>2337.9474325857036</v>
      </c>
      <c r="H14" s="10">
        <f t="shared" si="2"/>
        <v>2689.3352817410505</v>
      </c>
    </row>
    <row r="15" spans="1:16" x14ac:dyDescent="0.2">
      <c r="A15" s="5">
        <v>13</v>
      </c>
      <c r="B15" s="4">
        <v>1.9586530106607825E-4</v>
      </c>
      <c r="C15" s="6">
        <v>2198.1792169517498</v>
      </c>
      <c r="D15" s="6">
        <v>2073.22827148438</v>
      </c>
      <c r="E15" s="6">
        <v>2361.4794921875</v>
      </c>
      <c r="F15" s="10">
        <f t="shared" si="0"/>
        <v>2536.374894480276</v>
      </c>
      <c r="G15" s="10">
        <f t="shared" si="1"/>
        <v>2392.199916079519</v>
      </c>
      <c r="H15" s="10">
        <f t="shared" si="2"/>
        <v>2724.79934830804</v>
      </c>
    </row>
    <row r="16" spans="1:16" x14ac:dyDescent="0.2">
      <c r="A16" s="5">
        <v>14</v>
      </c>
      <c r="B16" s="4">
        <v>2.7413610951043665E-4</v>
      </c>
      <c r="C16" s="6">
        <v>2238.2100499060998</v>
      </c>
      <c r="D16" s="6">
        <v>2123.34716796875</v>
      </c>
      <c r="E16" s="6">
        <v>2387.75512695312</v>
      </c>
      <c r="F16" s="10">
        <f t="shared" si="0"/>
        <v>2582.5645767989654</v>
      </c>
      <c r="G16" s="10">
        <f t="shared" si="1"/>
        <v>2450.0297371431043</v>
      </c>
      <c r="H16" s="10">
        <f t="shared" si="2"/>
        <v>2755.1175588716305</v>
      </c>
    </row>
    <row r="17" spans="1:8" x14ac:dyDescent="0.2">
      <c r="A17" s="5">
        <v>15</v>
      </c>
      <c r="B17" s="4">
        <v>3.5874592140316963E-4</v>
      </c>
      <c r="C17" s="6">
        <v>2282.9224432964202</v>
      </c>
      <c r="D17" s="6">
        <v>2173.39501953125</v>
      </c>
      <c r="E17" s="6">
        <v>2418.01928710938</v>
      </c>
      <c r="F17" s="10">
        <f t="shared" si="0"/>
        <v>2634.156089989868</v>
      </c>
      <c r="G17" s="10">
        <f t="shared" si="1"/>
        <v>2507.777582835973</v>
      </c>
      <c r="H17" s="10">
        <f t="shared" si="2"/>
        <v>2790.0379399901976</v>
      </c>
    </row>
    <row r="18" spans="1:8" x14ac:dyDescent="0.2">
      <c r="A18" s="5">
        <v>16</v>
      </c>
      <c r="B18" s="4">
        <v>4.3947872472926974E-4</v>
      </c>
      <c r="C18" s="6">
        <v>2330.3335919097499</v>
      </c>
      <c r="D18" s="6">
        <v>2221.72387695312</v>
      </c>
      <c r="E18" s="6">
        <v>2453.04272460938</v>
      </c>
      <c r="F18" s="10">
        <f t="shared" si="0"/>
        <v>2688.861569021773</v>
      </c>
      <c r="G18" s="10">
        <f t="shared" si="1"/>
        <v>2563.541962600118</v>
      </c>
      <c r="H18" s="10">
        <f t="shared" si="2"/>
        <v>2830.449825840244</v>
      </c>
    </row>
    <row r="19" spans="1:8" x14ac:dyDescent="0.2">
      <c r="A19" s="5">
        <v>17</v>
      </c>
      <c r="B19" s="4">
        <v>5.1521725254133344E-4</v>
      </c>
      <c r="C19" s="6">
        <v>2381.2749463934201</v>
      </c>
      <c r="D19" s="6">
        <v>2275.142578125</v>
      </c>
      <c r="E19" s="6">
        <v>2491.61303710938</v>
      </c>
      <c r="F19" s="10">
        <f t="shared" si="0"/>
        <v>2747.640385419816</v>
      </c>
      <c r="G19" s="10">
        <f t="shared" si="1"/>
        <v>2625.179272016584</v>
      </c>
      <c r="H19" s="10">
        <f t="shared" si="2"/>
        <v>2874.9542827757073</v>
      </c>
    </row>
    <row r="20" spans="1:8" x14ac:dyDescent="0.2">
      <c r="A20" s="5">
        <v>18</v>
      </c>
      <c r="B20" s="4">
        <v>5.8322958648204803E-4</v>
      </c>
      <c r="C20" s="6">
        <v>2435.7834123808798</v>
      </c>
      <c r="D20" s="6">
        <v>2331.81030273438</v>
      </c>
      <c r="E20" s="6">
        <v>2534.806640625</v>
      </c>
      <c r="F20" s="10">
        <f t="shared" si="0"/>
        <v>2810.5351228466143</v>
      </c>
      <c r="G20" s="10">
        <f t="shared" si="1"/>
        <v>2690.565475706503</v>
      </c>
      <c r="H20" s="10">
        <f t="shared" si="2"/>
        <v>2924.793336258833</v>
      </c>
    </row>
    <row r="21" spans="1:8" x14ac:dyDescent="0.2">
      <c r="A21" s="5">
        <v>19</v>
      </c>
      <c r="B21" s="4">
        <v>6.4595520962029696E-4</v>
      </c>
      <c r="C21" s="6">
        <v>2493.2901778278701</v>
      </c>
      <c r="D21" s="6">
        <v>2389.87890625</v>
      </c>
      <c r="E21" s="6">
        <v>2591.96508789062</v>
      </c>
      <c r="F21" s="10">
        <f t="shared" si="0"/>
        <v>2876.8894560227673</v>
      </c>
      <c r="G21" s="10">
        <f t="shared" si="1"/>
        <v>2757.568087221859</v>
      </c>
      <c r="H21" s="10">
        <f t="shared" si="2"/>
        <v>2990.7457615815656</v>
      </c>
    </row>
    <row r="22" spans="1:8" x14ac:dyDescent="0.2">
      <c r="A22" s="5">
        <v>20</v>
      </c>
      <c r="B22" s="4">
        <v>7.1357993874698877E-4</v>
      </c>
      <c r="C22" s="6">
        <v>2553.7709725600598</v>
      </c>
      <c r="D22" s="6">
        <v>2448.41821289062</v>
      </c>
      <c r="E22" s="6">
        <v>2654.33520507812</v>
      </c>
      <c r="F22" s="10">
        <f t="shared" si="0"/>
        <v>2946.6753807435307</v>
      </c>
      <c r="G22" s="10">
        <f t="shared" si="1"/>
        <v>2825.1138207810395</v>
      </c>
      <c r="H22" s="10">
        <f t="shared" si="2"/>
        <v>3062.711686006753</v>
      </c>
    </row>
    <row r="23" spans="1:8" x14ac:dyDescent="0.2">
      <c r="A23" s="5">
        <v>21</v>
      </c>
      <c r="B23" s="4">
        <v>7.8299269080162048E-4</v>
      </c>
      <c r="C23" s="6">
        <v>2615.4565323598699</v>
      </c>
      <c r="D23" s="6">
        <v>2515.76025390625</v>
      </c>
      <c r="E23" s="6">
        <v>2723.39526367188</v>
      </c>
      <c r="F23" s="10">
        <f t="shared" si="0"/>
        <v>3017.851426819138</v>
      </c>
      <c r="G23" s="10">
        <f t="shared" si="1"/>
        <v>2902.816612645282</v>
      </c>
      <c r="H23" s="10">
        <f t="shared" si="2"/>
        <v>3142.3968169904997</v>
      </c>
    </row>
    <row r="24" spans="1:8" x14ac:dyDescent="0.2">
      <c r="A24" s="5">
        <v>22</v>
      </c>
      <c r="B24" s="4">
        <v>8.4090011660009623E-4</v>
      </c>
      <c r="C24" s="6">
        <v>2679.13261186519</v>
      </c>
      <c r="D24" s="6">
        <v>2587.54223632812</v>
      </c>
      <c r="E24" s="6">
        <v>2794.68896484375</v>
      </c>
      <c r="F24" s="10">
        <f t="shared" si="0"/>
        <v>3091.3242393135565</v>
      </c>
      <c r="G24" s="10">
        <f t="shared" si="1"/>
        <v>2985.64244262621</v>
      </c>
      <c r="H24" s="10">
        <f t="shared" si="2"/>
        <v>3224.659242361651</v>
      </c>
    </row>
    <row r="25" spans="1:8" x14ac:dyDescent="0.2">
      <c r="A25" s="5">
        <v>23</v>
      </c>
      <c r="B25" s="4">
        <v>8.8294083252549171E-4</v>
      </c>
      <c r="C25" s="6">
        <v>2745.57890813837</v>
      </c>
      <c r="D25" s="6">
        <v>2651.3818359375</v>
      </c>
      <c r="E25" s="6">
        <v>2869.04125976562</v>
      </c>
      <c r="F25" s="10">
        <f t="shared" si="0"/>
        <v>3167.99347374122</v>
      </c>
      <c r="G25" s="10">
        <f t="shared" si="1"/>
        <v>3059.3039332245257</v>
      </c>
      <c r="H25" s="10">
        <f t="shared" si="2"/>
        <v>3310.4508342084428</v>
      </c>
    </row>
    <row r="26" spans="1:8" x14ac:dyDescent="0.2">
      <c r="A26" s="5">
        <v>24</v>
      </c>
      <c r="B26" s="4">
        <v>9.1485865414142609E-4</v>
      </c>
      <c r="C26" s="6">
        <v>2815.7614186471301</v>
      </c>
      <c r="D26" s="6">
        <v>2718.873046875</v>
      </c>
      <c r="E26" s="6">
        <v>2942.35034179688</v>
      </c>
      <c r="F26" s="10">
        <f t="shared" si="0"/>
        <v>3248.9737488312853</v>
      </c>
      <c r="G26" s="10">
        <f t="shared" si="1"/>
        <v>3137.178845197049</v>
      </c>
      <c r="H26" s="10">
        <f t="shared" si="2"/>
        <v>3395.0387121064646</v>
      </c>
    </row>
    <row r="27" spans="1:8" x14ac:dyDescent="0.2">
      <c r="A27" s="5">
        <v>25</v>
      </c>
      <c r="B27" s="4">
        <v>9.4248127425089478E-4</v>
      </c>
      <c r="C27" s="6">
        <v>2889.7755687416202</v>
      </c>
      <c r="D27" s="6">
        <v>2789.55102539062</v>
      </c>
      <c r="E27" s="6">
        <v>3017.17114257812</v>
      </c>
      <c r="F27" s="10">
        <f t="shared" si="0"/>
        <v>3334.3751713760244</v>
      </c>
      <c r="G27" s="10">
        <f t="shared" si="1"/>
        <v>3218.730817355273</v>
      </c>
      <c r="H27" s="10">
        <f t="shared" si="2"/>
        <v>3481.370890676331</v>
      </c>
    </row>
    <row r="28" spans="1:8" x14ac:dyDescent="0.2">
      <c r="A28" s="5">
        <v>26</v>
      </c>
      <c r="B28" s="4">
        <v>9.7760430071502924E-4</v>
      </c>
      <c r="C28" s="6">
        <v>2968.2756092961199</v>
      </c>
      <c r="D28" s="6">
        <v>2865.24682617188</v>
      </c>
      <c r="E28" s="6">
        <v>3097.19213867188</v>
      </c>
      <c r="F28" s="10">
        <f t="shared" si="0"/>
        <v>3424.9526504744845</v>
      </c>
      <c r="G28" s="10">
        <f t="shared" si="1"/>
        <v>3306.0726169858817</v>
      </c>
      <c r="H28" s="10">
        <f t="shared" si="2"/>
        <v>3573.7033283403393</v>
      </c>
    </row>
    <row r="29" spans="1:8" x14ac:dyDescent="0.2">
      <c r="A29" s="5">
        <v>27</v>
      </c>
      <c r="B29" s="4">
        <v>1.0282424045726657E-3</v>
      </c>
      <c r="C29" s="6">
        <v>3050.30753629845</v>
      </c>
      <c r="D29" s="6">
        <v>2943.89672851562</v>
      </c>
      <c r="E29" s="6">
        <v>3180.25659179688</v>
      </c>
      <c r="F29" s="10">
        <f t="shared" si="0"/>
        <v>3519.605406077858</v>
      </c>
      <c r="G29" s="10">
        <f t="shared" si="1"/>
        <v>3396.823014505615</v>
      </c>
      <c r="H29" s="10">
        <f t="shared" si="2"/>
        <v>3669.5474669370733</v>
      </c>
    </row>
    <row r="30" spans="1:8" x14ac:dyDescent="0.2">
      <c r="A30" s="5">
        <v>28</v>
      </c>
      <c r="B30" s="4">
        <v>1.0990411974489689E-3</v>
      </c>
      <c r="C30" s="6">
        <v>3136.3063617867201</v>
      </c>
      <c r="D30" s="6">
        <v>3026.24951171875</v>
      </c>
      <c r="E30" s="6">
        <v>3278.07055664062</v>
      </c>
      <c r="F30" s="10">
        <f t="shared" si="0"/>
        <v>3618.835377975107</v>
      </c>
      <c r="G30" s="10">
        <f t="shared" si="1"/>
        <v>3491.8459908836053</v>
      </c>
      <c r="H30" s="10">
        <f t="shared" si="2"/>
        <v>3782.410368581314</v>
      </c>
    </row>
    <row r="31" spans="1:8" x14ac:dyDescent="0.2">
      <c r="A31" s="5">
        <v>29</v>
      </c>
      <c r="B31" s="4">
        <v>1.182574313133955E-3</v>
      </c>
      <c r="C31" s="6">
        <v>3225.6129364721301</v>
      </c>
      <c r="D31" s="6">
        <v>3112.77661132812</v>
      </c>
      <c r="E31" s="6">
        <v>3379.40405273438</v>
      </c>
      <c r="F31" s="10">
        <f t="shared" si="0"/>
        <v>3721.882005018653</v>
      </c>
      <c r="G31" s="10">
        <f t="shared" si="1"/>
        <v>3591.6855132705637</v>
      </c>
      <c r="H31" s="10">
        <f t="shared" si="2"/>
        <v>3899.334290652846</v>
      </c>
    </row>
    <row r="32" spans="1:8" x14ac:dyDescent="0.2">
      <c r="A32" s="5">
        <v>30</v>
      </c>
      <c r="B32" s="4">
        <v>1.2689101276919246E-3</v>
      </c>
      <c r="C32" s="6">
        <v>3322.73130548891</v>
      </c>
      <c r="D32" s="6">
        <v>3208.6845703125</v>
      </c>
      <c r="E32" s="6">
        <v>3487.26318359375</v>
      </c>
      <c r="F32" s="10">
        <f t="shared" si="0"/>
        <v>3833.9422915810105</v>
      </c>
      <c r="G32" s="10">
        <f t="shared" si="1"/>
        <v>3702.3491650205588</v>
      </c>
      <c r="H32" s="10">
        <f t="shared" si="2"/>
        <v>4023.7878336317185</v>
      </c>
    </row>
    <row r="33" spans="1:8" x14ac:dyDescent="0.2">
      <c r="A33" s="5">
        <v>31</v>
      </c>
      <c r="B33" s="4">
        <v>1.3508716365322471E-3</v>
      </c>
      <c r="C33" s="6">
        <v>3429.5064478265899</v>
      </c>
      <c r="D33" s="6">
        <v>3312.54858398438</v>
      </c>
      <c r="E33" s="6">
        <v>3604.25756835938</v>
      </c>
      <c r="F33" s="10">
        <f t="shared" si="0"/>
        <v>3957.14507154151</v>
      </c>
      <c r="G33" s="10">
        <f t="shared" si="1"/>
        <v>3822.1929314822514</v>
      </c>
      <c r="H33" s="10">
        <f t="shared" si="2"/>
        <v>4158.78211345491</v>
      </c>
    </row>
    <row r="34" spans="1:8" x14ac:dyDescent="0.2">
      <c r="A34" s="5">
        <v>32</v>
      </c>
      <c r="B34" s="4">
        <v>1.4297615271061659E-3</v>
      </c>
      <c r="C34" s="6">
        <v>3537.9101024198299</v>
      </c>
      <c r="D34" s="6">
        <v>3417.47045898438</v>
      </c>
      <c r="E34" s="6">
        <v>3724.73461914062</v>
      </c>
      <c r="F34" s="10">
        <f t="shared" si="0"/>
        <v>4082.2269146686986</v>
      </c>
      <c r="G34" s="10">
        <f t="shared" si="1"/>
        <v>3943.2573140310196</v>
      </c>
      <c r="H34" s="10">
        <f t="shared" si="2"/>
        <v>4297.794876657315</v>
      </c>
    </row>
    <row r="35" spans="1:8" x14ac:dyDescent="0.2">
      <c r="A35" s="5">
        <v>33</v>
      </c>
      <c r="B35" s="4">
        <v>1.5058810822665691E-3</v>
      </c>
      <c r="C35" s="6">
        <v>3652.41091977105</v>
      </c>
      <c r="D35" s="6">
        <v>3527.64721679688</v>
      </c>
      <c r="E35" s="6">
        <v>3846.09887695312</v>
      </c>
      <c r="F35" s="10">
        <f t="shared" si="0"/>
        <v>4214.343985145706</v>
      </c>
      <c r="G35" s="10">
        <f t="shared" si="1"/>
        <v>4070.3850569902015</v>
      </c>
      <c r="H35" s="10">
        <f t="shared" si="2"/>
        <v>4437.831346035697</v>
      </c>
    </row>
    <row r="36" spans="1:8" x14ac:dyDescent="0.2">
      <c r="A36" s="5">
        <v>34</v>
      </c>
      <c r="B36" s="4">
        <v>1.583099365234375E-3</v>
      </c>
      <c r="C36" s="6">
        <v>3778.0684445726702</v>
      </c>
      <c r="D36" s="6">
        <v>3641.06298828125</v>
      </c>
      <c r="E36" s="6">
        <v>3969.78540039062</v>
      </c>
      <c r="F36" s="10">
        <f t="shared" si="0"/>
        <v>4359.334251977238</v>
      </c>
      <c r="G36" s="10">
        <f t="shared" si="1"/>
        <v>4201.250144428331</v>
      </c>
      <c r="H36" s="10">
        <f t="shared" si="2"/>
        <v>4580.547367738174</v>
      </c>
    </row>
    <row r="37" spans="1:8" x14ac:dyDescent="0.2">
      <c r="A37" s="5">
        <v>35</v>
      </c>
      <c r="B37" s="4">
        <v>1.664401963353157E-3</v>
      </c>
      <c r="C37" s="6">
        <v>3905.6983792146202</v>
      </c>
      <c r="D37" s="6">
        <v>3775.46118164062</v>
      </c>
      <c r="E37" s="6">
        <v>4096.4345703125</v>
      </c>
      <c r="F37" s="10">
        <f t="shared" si="0"/>
        <v>4506.600389111818</v>
      </c>
      <c r="G37" s="10">
        <f t="shared" si="1"/>
        <v>4356.325854757773</v>
      </c>
      <c r="H37" s="10">
        <f t="shared" si="2"/>
        <v>4726.681846910476</v>
      </c>
    </row>
    <row r="38" spans="1:8" x14ac:dyDescent="0.2">
      <c r="A38" s="5">
        <v>36</v>
      </c>
      <c r="B38" s="4">
        <v>1.7527177697047591E-3</v>
      </c>
      <c r="C38" s="6">
        <v>4043.25208834758</v>
      </c>
      <c r="D38" s="6">
        <v>3902.44165039062</v>
      </c>
      <c r="E38" s="6">
        <v>4235.009765625</v>
      </c>
      <c r="F38" s="10">
        <f t="shared" si="0"/>
        <v>4665.317099649774</v>
      </c>
      <c r="G38" s="10">
        <f t="shared" si="1"/>
        <v>4502.8426039578035</v>
      </c>
      <c r="H38" s="10">
        <f t="shared" si="2"/>
        <v>4886.577201974258</v>
      </c>
    </row>
    <row r="39" spans="1:8" x14ac:dyDescent="0.2">
      <c r="A39" s="5">
        <v>37</v>
      </c>
      <c r="B39" s="4">
        <v>1.849448075518012E-3</v>
      </c>
      <c r="C39" s="6">
        <v>4188.90303181936</v>
      </c>
      <c r="D39" s="6">
        <v>4044.44165039062</v>
      </c>
      <c r="E39" s="6">
        <v>4384.19921875</v>
      </c>
      <c r="F39" s="10">
        <f t="shared" si="0"/>
        <v>4833.376825412934</v>
      </c>
      <c r="G39" s="10">
        <f t="shared" si="1"/>
        <v>4666.689678954557</v>
      </c>
      <c r="H39" s="10">
        <f t="shared" si="2"/>
        <v>5058.71984644536</v>
      </c>
    </row>
    <row r="40" spans="1:8" x14ac:dyDescent="0.2">
      <c r="A40" s="5">
        <v>38</v>
      </c>
      <c r="B40" s="4">
        <v>1.9546204712241888E-3</v>
      </c>
      <c r="C40" s="6">
        <v>4347.2301266138402</v>
      </c>
      <c r="D40" s="6">
        <v>4191.068359375</v>
      </c>
      <c r="E40" s="6">
        <v>4550.24951171875</v>
      </c>
      <c r="F40" s="10">
        <f t="shared" si="0"/>
        <v>5016.062961855253</v>
      </c>
      <c r="G40" s="10">
        <f t="shared" si="1"/>
        <v>4835.875294331254</v>
      </c>
      <c r="H40" s="10">
        <f t="shared" si="2"/>
        <v>5250.317415496655</v>
      </c>
    </row>
    <row r="41" spans="1:8" x14ac:dyDescent="0.2">
      <c r="A41" s="5">
        <v>39</v>
      </c>
      <c r="B41" s="4">
        <v>2.0659712608903646E-3</v>
      </c>
      <c r="C41" s="6">
        <v>4517.1040580604404</v>
      </c>
      <c r="D41" s="6">
        <v>4354.04638671875</v>
      </c>
      <c r="E41" s="6">
        <v>4726.826171875</v>
      </c>
      <c r="F41" s="10">
        <f t="shared" si="0"/>
        <v>5212.072446261764</v>
      </c>
      <c r="G41" s="10">
        <f t="shared" si="1"/>
        <v>5023.927921577834</v>
      </c>
      <c r="H41" s="10">
        <f t="shared" si="2"/>
        <v>5454.060861125509</v>
      </c>
    </row>
    <row r="42" spans="1:8" x14ac:dyDescent="0.2">
      <c r="A42" s="5">
        <v>40</v>
      </c>
      <c r="B42" s="4">
        <v>2.1897857077419758E-3</v>
      </c>
      <c r="C42" s="6">
        <v>4696.0388929491701</v>
      </c>
      <c r="D42" s="6">
        <v>4539.244140625</v>
      </c>
      <c r="E42" s="6">
        <v>4911.73388671875</v>
      </c>
      <c r="F42" s="10">
        <f t="shared" si="0"/>
        <v>5418.536878033211</v>
      </c>
      <c r="G42" s="10">
        <f t="shared" si="1"/>
        <v>5237.618838996903</v>
      </c>
      <c r="H42" s="10">
        <f t="shared" si="2"/>
        <v>5667.417116206371</v>
      </c>
    </row>
    <row r="43" spans="1:8" x14ac:dyDescent="0.2">
      <c r="A43" s="5">
        <v>41</v>
      </c>
      <c r="B43" s="4">
        <v>2.318911487236619E-3</v>
      </c>
      <c r="C43" s="6">
        <v>4888.4440423974102</v>
      </c>
      <c r="D43" s="6">
        <v>4728.6806640625</v>
      </c>
      <c r="E43" s="6">
        <v>5109.0009765625</v>
      </c>
      <c r="F43" s="10">
        <f t="shared" si="0"/>
        <v>5640.544067831855</v>
      </c>
      <c r="G43" s="10">
        <f t="shared" si="1"/>
        <v>5456.2006718334405</v>
      </c>
      <c r="H43" s="10">
        <f t="shared" si="2"/>
        <v>5895.034268769894</v>
      </c>
    </row>
    <row r="44" spans="1:8" x14ac:dyDescent="0.2">
      <c r="A44" s="5">
        <v>42</v>
      </c>
      <c r="B44" s="4">
        <v>2.4400367401540279E-3</v>
      </c>
      <c r="C44" s="6">
        <v>5085.96642658377</v>
      </c>
      <c r="D44" s="6">
        <v>4919.9658203125</v>
      </c>
      <c r="E44" s="6">
        <v>5299.14404296875</v>
      </c>
      <c r="F44" s="10">
        <f t="shared" si="0"/>
        <v>5868.455792446785</v>
      </c>
      <c r="G44" s="10">
        <f t="shared" si="1"/>
        <v>5676.915554522592</v>
      </c>
      <c r="H44" s="10">
        <f t="shared" si="2"/>
        <v>6114.431348076779</v>
      </c>
    </row>
    <row r="45" spans="1:8" x14ac:dyDescent="0.2">
      <c r="A45" s="5">
        <v>43</v>
      </c>
      <c r="B45" s="4">
        <v>2.5502641219645739E-3</v>
      </c>
      <c r="C45" s="6">
        <v>5245.8255762816198</v>
      </c>
      <c r="D45" s="6">
        <v>5087.8349609375</v>
      </c>
      <c r="E45" s="6">
        <v>5455.9208984375</v>
      </c>
      <c r="F45" s="10">
        <f t="shared" si="0"/>
        <v>6052.909694485243</v>
      </c>
      <c r="G45" s="10">
        <f t="shared" si="1"/>
        <v>5870.611805745304</v>
      </c>
      <c r="H45" s="10">
        <f t="shared" si="2"/>
        <v>6295.328736779198</v>
      </c>
    </row>
    <row r="46" spans="1:8" x14ac:dyDescent="0.2">
      <c r="A46" s="5">
        <v>44</v>
      </c>
      <c r="B46" s="4">
        <v>2.6608426123857498E-3</v>
      </c>
      <c r="C46" s="6">
        <v>5388.5028928255097</v>
      </c>
      <c r="D46" s="6">
        <v>5222.583984375</v>
      </c>
      <c r="E46" s="6">
        <v>5604.9365234375</v>
      </c>
      <c r="F46" s="10">
        <f t="shared" si="0"/>
        <v>6217.538292964837</v>
      </c>
      <c r="G46" s="10">
        <f t="shared" si="1"/>
        <v>6026.092322286877</v>
      </c>
      <c r="H46" s="10">
        <f t="shared" si="2"/>
        <v>6467.27080920922</v>
      </c>
    </row>
    <row r="47" spans="1:8" x14ac:dyDescent="0.2">
      <c r="A47" s="5">
        <v>45</v>
      </c>
      <c r="B47" s="4">
        <v>2.7863678988069296E-3</v>
      </c>
      <c r="C47" s="6">
        <v>5536.1069421237999</v>
      </c>
      <c r="D47" s="6">
        <v>5361.15234375</v>
      </c>
      <c r="E47" s="6">
        <v>5758.76025390625</v>
      </c>
      <c r="F47" s="10">
        <f t="shared" si="0"/>
        <v>6387.85161504372</v>
      </c>
      <c r="G47" s="10">
        <f t="shared" si="1"/>
        <v>6185.979789686122</v>
      </c>
      <c r="H47" s="10">
        <f t="shared" si="2"/>
        <v>6644.7607268317115</v>
      </c>
    </row>
    <row r="48" spans="1:8" x14ac:dyDescent="0.2">
      <c r="A48" s="5">
        <v>46</v>
      </c>
      <c r="B48" s="4">
        <v>2.942204475402832E-3</v>
      </c>
      <c r="C48" s="6">
        <v>5688.9784056356702</v>
      </c>
      <c r="D48" s="6">
        <v>5504.1474609375</v>
      </c>
      <c r="E48" s="6">
        <v>5917.2255859375</v>
      </c>
      <c r="F48" s="10">
        <f t="shared" si="0"/>
        <v>6564.242756923248</v>
      </c>
      <c r="G48" s="10">
        <f t="shared" si="1"/>
        <v>6350.975083277601</v>
      </c>
      <c r="H48" s="10">
        <f t="shared" si="2"/>
        <v>6827.6063686747375</v>
      </c>
    </row>
    <row r="49" spans="1:8" x14ac:dyDescent="0.2">
      <c r="A49" s="5">
        <v>47</v>
      </c>
      <c r="B49" s="4">
        <v>3.1327598262578249E-3</v>
      </c>
      <c r="C49" s="6">
        <v>5847.3857455861398</v>
      </c>
      <c r="D49" s="6">
        <v>5656.33154296875</v>
      </c>
      <c r="E49" s="6">
        <v>6080.13037109375</v>
      </c>
      <c r="F49" s="10">
        <f t="shared" si="0"/>
        <v>6747.021484450719</v>
      </c>
      <c r="G49" s="10">
        <f t="shared" si="1"/>
        <v>6526.5730882204625</v>
      </c>
      <c r="H49" s="10">
        <f t="shared" si="2"/>
        <v>7015.574485229851</v>
      </c>
    </row>
    <row r="50" spans="1:8" x14ac:dyDescent="0.2">
      <c r="A50" s="5">
        <v>48</v>
      </c>
      <c r="B50" s="4">
        <v>3.3594369888305664E-3</v>
      </c>
      <c r="C50" s="6">
        <v>6011.6713346612696</v>
      </c>
      <c r="D50" s="6">
        <v>5817.12451171875</v>
      </c>
      <c r="E50" s="6">
        <v>6247.43896484375</v>
      </c>
      <c r="F50" s="10">
        <f t="shared" si="0"/>
        <v>6936.58284525409</v>
      </c>
      <c r="G50" s="10">
        <f t="shared" si="1"/>
        <v>6712.104479838293</v>
      </c>
      <c r="H50" s="10">
        <f t="shared" si="2"/>
        <v>7208.623947960539</v>
      </c>
    </row>
    <row r="51" spans="1:8" x14ac:dyDescent="0.2">
      <c r="A51" s="5">
        <v>49</v>
      </c>
      <c r="B51" s="4">
        <v>3.6145576741546392E-3</v>
      </c>
      <c r="C51" s="6">
        <v>6181.7659475669398</v>
      </c>
      <c r="D51" s="6">
        <v>5984.09521484375</v>
      </c>
      <c r="E51" s="6">
        <v>6418.90185546875</v>
      </c>
      <c r="F51" s="10">
        <f t="shared" si="0"/>
        <v>7132.846963544929</v>
      </c>
      <c r="G51" s="10">
        <f t="shared" si="1"/>
        <v>6904.764066579015</v>
      </c>
      <c r="H51" s="10">
        <f t="shared" si="2"/>
        <v>7406.466857111205</v>
      </c>
    </row>
    <row r="52" spans="1:8" x14ac:dyDescent="0.2">
      <c r="A52" s="5">
        <v>50</v>
      </c>
      <c r="B52" s="4">
        <v>3.8983779959380627E-3</v>
      </c>
      <c r="C52" s="6">
        <v>6357.3827037802303</v>
      </c>
      <c r="D52" s="6">
        <v>6153.70703125</v>
      </c>
      <c r="E52" s="6">
        <v>6594.01611328125</v>
      </c>
      <c r="F52" s="10">
        <f t="shared" si="0"/>
        <v>7335.482821474265</v>
      </c>
      <c r="G52" s="10">
        <f t="shared" si="1"/>
        <v>7100.471108854019</v>
      </c>
      <c r="H52" s="10">
        <f t="shared" si="2"/>
        <v>7608.52290593378</v>
      </c>
    </row>
    <row r="53" spans="1:8" x14ac:dyDescent="0.2">
      <c r="A53" s="5">
        <v>51</v>
      </c>
      <c r="B53" s="4">
        <v>4.2053898796439171E-3</v>
      </c>
      <c r="C53" s="6">
        <v>6538.2832058096901</v>
      </c>
      <c r="D53" s="6">
        <v>6327.94970703125</v>
      </c>
      <c r="E53" s="6">
        <v>6774.61328125</v>
      </c>
      <c r="F53" s="10">
        <f t="shared" si="0"/>
        <v>7544.215343467021</v>
      </c>
      <c r="G53" s="10">
        <f t="shared" si="1"/>
        <v>7301.521480448143</v>
      </c>
      <c r="H53" s="10">
        <f t="shared" si="2"/>
        <v>7816.905425119535</v>
      </c>
    </row>
    <row r="54" spans="1:8" x14ac:dyDescent="0.2">
      <c r="A54" s="5">
        <v>52</v>
      </c>
      <c r="B54" s="4">
        <v>4.5288465917110443E-3</v>
      </c>
      <c r="C54" s="6">
        <v>6724.57527572851</v>
      </c>
      <c r="D54" s="6">
        <v>6508.0478515625</v>
      </c>
      <c r="E54" s="6">
        <v>6969.22705078125</v>
      </c>
      <c r="F54" s="10">
        <f t="shared" si="0"/>
        <v>7759.168940307087</v>
      </c>
      <c r="G54" s="10">
        <f t="shared" si="1"/>
        <v>7509.328200122705</v>
      </c>
      <c r="H54" s="10">
        <f t="shared" si="2"/>
        <v>8041.461037033532</v>
      </c>
    </row>
    <row r="55" spans="1:8" x14ac:dyDescent="0.2">
      <c r="A55" s="5">
        <v>53</v>
      </c>
      <c r="B55" s="4">
        <v>4.8730163834989071E-3</v>
      </c>
      <c r="C55" s="6">
        <v>6916.6287416698697</v>
      </c>
      <c r="D55" s="6">
        <v>6694.86474609375</v>
      </c>
      <c r="E55" s="6">
        <v>7176.64013671875</v>
      </c>
      <c r="F55" s="10">
        <f t="shared" si="0"/>
        <v>7980.770339162584</v>
      </c>
      <c r="G55" s="10">
        <f t="shared" si="1"/>
        <v>7724.887367227792</v>
      </c>
      <c r="H55" s="10">
        <f t="shared" si="2"/>
        <v>8280.7851739836</v>
      </c>
    </row>
    <row r="56" spans="1:8" x14ac:dyDescent="0.2">
      <c r="A56" s="5">
        <v>54</v>
      </c>
      <c r="B56" s="4">
        <v>5.2522523328661919E-3</v>
      </c>
      <c r="C56" s="6">
        <v>7114.9778917476997</v>
      </c>
      <c r="D56" s="6">
        <v>6884.990234375</v>
      </c>
      <c r="E56" s="6">
        <v>7390.52734375</v>
      </c>
      <c r="F56" s="10">
        <f t="shared" si="0"/>
        <v>8209.63602978473</v>
      </c>
      <c r="G56" s="10">
        <f t="shared" si="1"/>
        <v>7944.264163968725</v>
      </c>
      <c r="H56" s="10">
        <f t="shared" si="2"/>
        <v>8527.579492654695</v>
      </c>
    </row>
    <row r="57" spans="1:8" x14ac:dyDescent="0.2">
      <c r="A57" s="5">
        <v>55</v>
      </c>
      <c r="B57" s="4">
        <v>5.6522074155509472E-3</v>
      </c>
      <c r="C57" s="6">
        <v>7326.5489137656896</v>
      </c>
      <c r="D57" s="6">
        <v>7089.0390625</v>
      </c>
      <c r="E57" s="6">
        <v>7599.65283203125</v>
      </c>
      <c r="F57" s="10">
        <f t="shared" si="0"/>
        <v>8453.75781226164</v>
      </c>
      <c r="G57" s="10">
        <f t="shared" si="1"/>
        <v>8179.706443157434</v>
      </c>
      <c r="H57" s="10">
        <f t="shared" si="2"/>
        <v>8768.87948957125</v>
      </c>
    </row>
    <row r="58" spans="1:8" x14ac:dyDescent="0.2">
      <c r="A58" s="5">
        <v>56</v>
      </c>
      <c r="B58" s="4">
        <v>6.1037968844175339E-3</v>
      </c>
      <c r="C58" s="6">
        <v>7547.84007513906</v>
      </c>
      <c r="D58" s="6">
        <v>7302.8994140625</v>
      </c>
      <c r="E58" s="6">
        <v>7828.546875</v>
      </c>
      <c r="F58" s="10">
        <f t="shared" si="0"/>
        <v>8709.095203202918</v>
      </c>
      <c r="G58" s="10">
        <f t="shared" si="1"/>
        <v>8426.46977457499</v>
      </c>
      <c r="H58" s="10">
        <f t="shared" si="2"/>
        <v>9032.989485519216</v>
      </c>
    </row>
    <row r="59" spans="1:8" x14ac:dyDescent="0.2">
      <c r="A59" s="5">
        <v>57</v>
      </c>
      <c r="B59" s="4">
        <v>6.6560455597937107E-3</v>
      </c>
      <c r="C59" s="6">
        <v>7772.1998026310503</v>
      </c>
      <c r="D59" s="6">
        <v>7517.0703125</v>
      </c>
      <c r="E59" s="6">
        <v>8069.72021484375</v>
      </c>
      <c r="F59" s="10">
        <f t="shared" si="0"/>
        <v>8967.973267263702</v>
      </c>
      <c r="G59" s="10">
        <f t="shared" si="1"/>
        <v>8673.591431324367</v>
      </c>
      <c r="H59" s="10">
        <f t="shared" si="2"/>
        <v>9311.267980593839</v>
      </c>
    </row>
    <row r="60" spans="1:8" x14ac:dyDescent="0.2">
      <c r="A60" s="5">
        <v>58</v>
      </c>
      <c r="B60" s="4">
        <v>7.3156934231519699E-3</v>
      </c>
      <c r="C60" s="6">
        <v>7999.5616085586898</v>
      </c>
      <c r="D60" s="6">
        <v>7729.89111328125</v>
      </c>
      <c r="E60" s="6">
        <v>8314.115234375</v>
      </c>
      <c r="F60" s="10">
        <f t="shared" si="0"/>
        <v>9230.315287455416</v>
      </c>
      <c r="G60" s="10">
        <f t="shared" si="1"/>
        <v>8919.155274327708</v>
      </c>
      <c r="H60" s="10">
        <f t="shared" si="2"/>
        <v>9593.263819283768</v>
      </c>
    </row>
    <row r="61" spans="1:8" x14ac:dyDescent="0.2">
      <c r="A61" s="5">
        <v>59</v>
      </c>
      <c r="B61" s="4">
        <v>8.0396197736263275E-3</v>
      </c>
      <c r="C61" s="6">
        <v>8229.4900081003598</v>
      </c>
      <c r="D61" s="6">
        <v>7945.72216796875</v>
      </c>
      <c r="E61" s="6">
        <v>8553.41796875</v>
      </c>
      <c r="F61" s="10">
        <f t="shared" si="0"/>
        <v>9495.618778466596</v>
      </c>
      <c r="G61" s="10">
        <f t="shared" si="1"/>
        <v>9168.192506750323</v>
      </c>
      <c r="H61" s="10">
        <f t="shared" si="2"/>
        <v>9869.383911298337</v>
      </c>
    </row>
    <row r="62" spans="1:8" x14ac:dyDescent="0.2">
      <c r="A62" s="5">
        <v>60</v>
      </c>
      <c r="B62" s="4">
        <v>8.7789352983236313E-3</v>
      </c>
      <c r="C62" s="6">
        <v>8462.0788247698292</v>
      </c>
      <c r="D62" s="6">
        <v>8164.53759765625</v>
      </c>
      <c r="E62" s="6">
        <v>8791.83984375</v>
      </c>
      <c r="F62" s="10">
        <f t="shared" si="0"/>
        <v>9763.991998806378</v>
      </c>
      <c r="G62" s="10">
        <f t="shared" si="1"/>
        <v>9420.673268147892</v>
      </c>
      <c r="H62" s="10">
        <f t="shared" si="2"/>
        <v>10144.48762139687</v>
      </c>
    </row>
    <row r="63" spans="1:8" x14ac:dyDescent="0.2">
      <c r="A63" s="5">
        <v>61</v>
      </c>
      <c r="B63" s="4">
        <v>9.5105832442641258E-3</v>
      </c>
      <c r="C63" s="6">
        <v>8696.5969104485994</v>
      </c>
      <c r="D63" s="6">
        <v>8385.517578125</v>
      </c>
      <c r="E63" s="6">
        <v>9031.0302734375</v>
      </c>
      <c r="F63" s="10">
        <f t="shared" si="0"/>
        <v>10034.591311287395</v>
      </c>
      <c r="G63" s="10">
        <f t="shared" si="1"/>
        <v>9675.6516021806</v>
      </c>
      <c r="H63" s="10">
        <f t="shared" si="2"/>
        <v>10420.478130351192</v>
      </c>
    </row>
    <row r="64" spans="1:8" x14ac:dyDescent="0.2">
      <c r="A64" s="5">
        <v>62</v>
      </c>
      <c r="B64" s="4">
        <v>1.0252314619719982E-2</v>
      </c>
      <c r="C64" s="6">
        <v>8932.6631425491596</v>
      </c>
      <c r="D64" s="6">
        <v>8620.2490234375</v>
      </c>
      <c r="E64" s="6">
        <v>9271.25</v>
      </c>
      <c r="F64" s="10">
        <f t="shared" si="0"/>
        <v>10306.976956605575</v>
      </c>
      <c r="G64" s="10">
        <f t="shared" si="1"/>
        <v>9946.497100238443</v>
      </c>
      <c r="H64" s="10">
        <f t="shared" si="2"/>
        <v>10697.656296222922</v>
      </c>
    </row>
    <row r="65" spans="1:8" x14ac:dyDescent="0.2">
      <c r="A65" s="5">
        <v>63</v>
      </c>
      <c r="B65" s="4">
        <v>1.1020843870937824E-2</v>
      </c>
      <c r="C65" s="6">
        <v>9170.0080331934296</v>
      </c>
      <c r="D65" s="6">
        <v>8858.48828125</v>
      </c>
      <c r="E65" s="6">
        <v>9511.654296875</v>
      </c>
      <c r="F65" s="10">
        <f t="shared" si="0"/>
        <v>10580.837985461125</v>
      </c>
      <c r="G65" s="10">
        <f t="shared" si="1"/>
        <v>10221.39009701292</v>
      </c>
      <c r="H65" s="10">
        <f t="shared" si="2"/>
        <v>10975.047429037148</v>
      </c>
    </row>
    <row r="66" spans="1:8" x14ac:dyDescent="0.2">
      <c r="A66" s="5">
        <v>64</v>
      </c>
      <c r="B66" s="4">
        <v>1.1837131343781948E-2</v>
      </c>
      <c r="C66" s="6">
        <v>9408.2049635291096</v>
      </c>
      <c r="D66" s="6">
        <v>9101.7998046875</v>
      </c>
      <c r="E66" s="6">
        <v>9752.126953125</v>
      </c>
      <c r="F66" s="10">
        <f t="shared" si="0"/>
        <v>10855.682142564694</v>
      </c>
      <c r="G66" s="10">
        <f t="shared" si="1"/>
        <v>10502.135740873753</v>
      </c>
      <c r="H66" s="10">
        <f t="shared" si="2"/>
        <v>11252.517438496741</v>
      </c>
    </row>
    <row r="67" spans="1:8" x14ac:dyDescent="0.2">
      <c r="A67" s="5">
        <v>65</v>
      </c>
      <c r="B67" s="4">
        <v>1.2722973711788654E-2</v>
      </c>
      <c r="C67" s="6">
        <v>9646.8005600068409</v>
      </c>
      <c r="D67" s="6">
        <v>9341.4990234375</v>
      </c>
      <c r="E67" s="6">
        <v>9992.8046875</v>
      </c>
      <c r="F67" s="10">
        <f t="shared" ref="F67:F102" si="3">C67*(116/103)*(118.896/116.048)</f>
        <v>11130.986301649074</v>
      </c>
      <c r="G67" s="10">
        <f t="shared" ref="G67:G102" si="4">D67*(116/103)*(118.896/116.048)</f>
        <v>10778.713317431462</v>
      </c>
      <c r="H67" s="10">
        <f t="shared" ref="H67:H102" si="5">E67*(116/103)*(118.896/116.048)</f>
        <v>11530.22407789244</v>
      </c>
    </row>
    <row r="68" spans="1:8" x14ac:dyDescent="0.2">
      <c r="A68" s="5">
        <v>66</v>
      </c>
      <c r="B68" s="4">
        <v>1.3782786205410957E-2</v>
      </c>
      <c r="C68" s="6">
        <v>9887.0099512338402</v>
      </c>
      <c r="D68" s="6">
        <v>9573.75</v>
      </c>
      <c r="E68" s="6">
        <v>10249.724609375</v>
      </c>
      <c r="F68" s="10">
        <f t="shared" si="3"/>
        <v>11408.152542066644</v>
      </c>
      <c r="G68" s="10">
        <f t="shared" si="4"/>
        <v>11046.69672007164</v>
      </c>
      <c r="H68" s="10">
        <f t="shared" si="5"/>
        <v>11826.671808227746</v>
      </c>
    </row>
    <row r="69" spans="1:8" x14ac:dyDescent="0.2">
      <c r="A69" s="5">
        <v>67</v>
      </c>
      <c r="B69" s="4">
        <v>1.4770613983273506E-2</v>
      </c>
      <c r="C69" s="6">
        <v>10126.8734830048</v>
      </c>
      <c r="D69" s="6">
        <v>9806.3544921875</v>
      </c>
      <c r="E69" s="6">
        <v>10510.9833984375</v>
      </c>
      <c r="F69" s="10">
        <f t="shared" si="3"/>
        <v>11684.919711637507</v>
      </c>
      <c r="G69" s="10">
        <f t="shared" si="4"/>
        <v>11315.088027649295</v>
      </c>
      <c r="H69" s="10">
        <f t="shared" si="5"/>
        <v>12128.125951925525</v>
      </c>
    </row>
    <row r="70" spans="1:8" x14ac:dyDescent="0.2">
      <c r="A70" s="5">
        <v>68</v>
      </c>
      <c r="B70" s="4">
        <v>1.5845088288187981E-2</v>
      </c>
      <c r="C70" s="6">
        <v>10366.2761436206</v>
      </c>
      <c r="D70" s="6">
        <v>10038.6630859375</v>
      </c>
      <c r="E70" s="6">
        <v>10770.6982421875</v>
      </c>
      <c r="F70" s="10">
        <f t="shared" si="3"/>
        <v>11961.155103808913</v>
      </c>
      <c r="G70" s="10">
        <f t="shared" si="4"/>
        <v>11583.137912033428</v>
      </c>
      <c r="H70" s="10">
        <f t="shared" si="5"/>
        <v>12427.79861024719</v>
      </c>
    </row>
    <row r="71" spans="1:8" x14ac:dyDescent="0.2">
      <c r="A71" s="5">
        <v>69</v>
      </c>
      <c r="B71" s="4">
        <v>1.6966477036476135E-2</v>
      </c>
      <c r="C71" s="6">
        <v>10606.2415039186</v>
      </c>
      <c r="D71" s="6">
        <v>10269.1884765625</v>
      </c>
      <c r="E71" s="6">
        <v>11030.09375</v>
      </c>
      <c r="F71" s="10">
        <f t="shared" si="3"/>
        <v>12238.039768494613</v>
      </c>
      <c r="G71" s="10">
        <f t="shared" si="4"/>
        <v>11849.130242782656</v>
      </c>
      <c r="H71" s="10">
        <f t="shared" si="5"/>
        <v>12727.10280195406</v>
      </c>
    </row>
    <row r="72" spans="1:8" x14ac:dyDescent="0.2">
      <c r="A72" s="5">
        <v>70</v>
      </c>
      <c r="B72" s="4">
        <v>1.8110362812876701E-2</v>
      </c>
      <c r="C72" s="6">
        <v>10845.4096548944</v>
      </c>
      <c r="D72" s="6">
        <v>10489.958984375</v>
      </c>
      <c r="E72" s="6">
        <v>11289.27734375</v>
      </c>
      <c r="F72" s="10">
        <f t="shared" si="3"/>
        <v>12514.004571098605</v>
      </c>
      <c r="G72" s="10">
        <f t="shared" si="4"/>
        <v>12103.86687623777</v>
      </c>
      <c r="H72" s="10">
        <f t="shared" si="5"/>
        <v>13026.16247606029</v>
      </c>
    </row>
    <row r="73" spans="1:8" x14ac:dyDescent="0.2">
      <c r="A73" s="5">
        <v>71</v>
      </c>
      <c r="B73" s="4">
        <v>1.9488735124468803E-2</v>
      </c>
      <c r="C73" s="6">
        <v>11083.5377441569</v>
      </c>
      <c r="D73" s="6">
        <v>10711.0009765625</v>
      </c>
      <c r="E73" s="6">
        <v>11545.4560546875</v>
      </c>
      <c r="F73" s="10">
        <f t="shared" si="3"/>
        <v>12788.769295748087</v>
      </c>
      <c r="G73" s="10">
        <f t="shared" si="4"/>
        <v>12358.91676265592</v>
      </c>
      <c r="H73" s="10">
        <f t="shared" si="5"/>
        <v>13321.754958197955</v>
      </c>
    </row>
    <row r="74" spans="1:8" x14ac:dyDescent="0.2">
      <c r="A74" s="5">
        <v>72</v>
      </c>
      <c r="B74" s="4">
        <v>2.1135827526450157E-2</v>
      </c>
      <c r="C74" s="6">
        <v>11321.659842974799</v>
      </c>
      <c r="D74" s="6">
        <v>10932.052734375</v>
      </c>
      <c r="E74" s="6">
        <v>11800.7861328125</v>
      </c>
      <c r="F74" s="10">
        <f t="shared" si="3"/>
        <v>13063.527108307248</v>
      </c>
      <c r="G74" s="10">
        <f t="shared" si="4"/>
        <v>12613.977917166263</v>
      </c>
      <c r="H74" s="10">
        <f t="shared" si="5"/>
        <v>13616.368243123827</v>
      </c>
    </row>
    <row r="75" spans="1:8" x14ac:dyDescent="0.2">
      <c r="A75" s="5">
        <v>73</v>
      </c>
      <c r="B75" s="4">
        <v>2.2936327382922173E-2</v>
      </c>
      <c r="C75" s="6">
        <v>11558.2679285091</v>
      </c>
      <c r="D75" s="6">
        <v>11153.3291015625</v>
      </c>
      <c r="E75" s="6">
        <v>12054.080078125</v>
      </c>
      <c r="F75" s="10">
        <f t="shared" si="3"/>
        <v>13336.537972640888</v>
      </c>
      <c r="G75" s="10">
        <f t="shared" si="4"/>
        <v>12869.298237797106</v>
      </c>
      <c r="H75" s="10">
        <f t="shared" si="5"/>
        <v>13908.63213082693</v>
      </c>
    </row>
    <row r="76" spans="1:8" x14ac:dyDescent="0.2">
      <c r="A76" s="5">
        <v>74</v>
      </c>
      <c r="B76" s="4">
        <v>2.5125492364168167E-2</v>
      </c>
      <c r="C76" s="6">
        <v>11793.782862600599</v>
      </c>
      <c r="D76" s="6">
        <v>11374.2080078125</v>
      </c>
      <c r="E76" s="6">
        <v>12304.5986328125</v>
      </c>
      <c r="F76" s="10">
        <f t="shared" si="3"/>
        <v>13608.287501295434</v>
      </c>
      <c r="G76" s="10">
        <f t="shared" si="4"/>
        <v>13124.15994707559</v>
      </c>
      <c r="H76" s="10">
        <f t="shared" si="5"/>
        <v>14197.693626728067</v>
      </c>
    </row>
    <row r="77" spans="1:8" x14ac:dyDescent="0.2">
      <c r="A77" s="5">
        <v>75</v>
      </c>
      <c r="B77" s="4">
        <v>2.7586055919528008E-2</v>
      </c>
      <c r="C77" s="6">
        <v>12028.9566976315</v>
      </c>
      <c r="D77" s="6">
        <v>11595.478515625</v>
      </c>
      <c r="E77" s="6">
        <v>12555.8837890625</v>
      </c>
      <c r="F77" s="10">
        <f t="shared" si="3"/>
        <v>13879.643451898126</v>
      </c>
      <c r="G77" s="10">
        <f t="shared" si="4"/>
        <v>13379.473506851115</v>
      </c>
      <c r="H77" s="10">
        <f t="shared" si="5"/>
        <v>14487.639667866551</v>
      </c>
    </row>
    <row r="78" spans="1:8" x14ac:dyDescent="0.2">
      <c r="A78" s="5">
        <v>76</v>
      </c>
      <c r="B78" s="4">
        <v>3.0376376584172249E-2</v>
      </c>
      <c r="C78" s="6">
        <v>12262.2957682043</v>
      </c>
      <c r="D78" s="6">
        <v>11816.09765625</v>
      </c>
      <c r="E78" s="6">
        <v>12801.7001953125</v>
      </c>
      <c r="F78" s="10">
        <f t="shared" si="3"/>
        <v>14148.882354685551</v>
      </c>
      <c r="G78" s="10">
        <f t="shared" si="4"/>
        <v>13634.035484877197</v>
      </c>
      <c r="H78" s="10">
        <f t="shared" si="5"/>
        <v>14771.27557737554</v>
      </c>
    </row>
    <row r="79" spans="1:8" x14ac:dyDescent="0.2">
      <c r="A79" s="5">
        <v>77</v>
      </c>
      <c r="B79" s="4">
        <v>3.283035010099411E-2</v>
      </c>
      <c r="C79" s="6">
        <v>12494.315038500899</v>
      </c>
      <c r="D79" s="6">
        <v>12036.8330078125</v>
      </c>
      <c r="E79" s="6">
        <v>13048.291015625</v>
      </c>
      <c r="F79" s="10">
        <f t="shared" si="3"/>
        <v>14416.598402438924</v>
      </c>
      <c r="G79" s="10">
        <f t="shared" si="4"/>
        <v>13888.731553200407</v>
      </c>
      <c r="H79" s="10">
        <f t="shared" si="5"/>
        <v>15055.805046595633</v>
      </c>
    </row>
    <row r="80" spans="1:8" x14ac:dyDescent="0.2">
      <c r="A80" s="5">
        <v>78</v>
      </c>
      <c r="B80" s="4">
        <v>3.7438079714775085E-2</v>
      </c>
      <c r="C80" s="6">
        <v>12727.616693314299</v>
      </c>
      <c r="D80" s="6">
        <v>12257.4443359375</v>
      </c>
      <c r="E80" s="6">
        <v>13296.568359375</v>
      </c>
      <c r="F80" s="10">
        <f t="shared" si="3"/>
        <v>14685.794132953557</v>
      </c>
      <c r="G80" s="10">
        <f t="shared" si="4"/>
        <v>14143.284516752734</v>
      </c>
      <c r="H80" s="10">
        <f t="shared" si="5"/>
        <v>15342.280515337894</v>
      </c>
    </row>
    <row r="81" spans="1:8" x14ac:dyDescent="0.2">
      <c r="A81" s="5">
        <v>79</v>
      </c>
      <c r="B81" s="4">
        <v>4.1077453643083572E-2</v>
      </c>
      <c r="C81" s="6">
        <v>12954.959408701099</v>
      </c>
      <c r="D81" s="6">
        <v>12477.3740234375</v>
      </c>
      <c r="E81" s="6">
        <v>13534.01171875</v>
      </c>
      <c r="F81" s="10">
        <f t="shared" si="3"/>
        <v>14948.114125474309</v>
      </c>
      <c r="G81" s="10">
        <f t="shared" si="4"/>
        <v>14397.050967469811</v>
      </c>
      <c r="H81" s="10">
        <f t="shared" si="5"/>
        <v>15616.255162598434</v>
      </c>
    </row>
    <row r="82" spans="1:8" x14ac:dyDescent="0.2">
      <c r="A82" s="5">
        <v>80</v>
      </c>
      <c r="B82" s="4">
        <v>4.6153955161571503E-2</v>
      </c>
      <c r="C82" s="6">
        <v>13184.6484711347</v>
      </c>
      <c r="D82" s="6">
        <v>12697.6728515625</v>
      </c>
      <c r="E82" s="6">
        <v>13776.693359375</v>
      </c>
      <c r="F82" s="10">
        <f t="shared" si="3"/>
        <v>15213.141456731297</v>
      </c>
      <c r="G82" s="10">
        <f t="shared" si="4"/>
        <v>14651.243352071882</v>
      </c>
      <c r="H82" s="10">
        <f t="shared" si="5"/>
        <v>15896.274014512657</v>
      </c>
    </row>
    <row r="83" spans="1:8" x14ac:dyDescent="0.2">
      <c r="A83" s="5">
        <v>81</v>
      </c>
      <c r="B83" s="4">
        <v>5.1125939935445786E-2</v>
      </c>
      <c r="C83" s="6">
        <v>13415.4660669566</v>
      </c>
      <c r="D83" s="6">
        <v>12917.796875</v>
      </c>
      <c r="E83" s="6">
        <v>14022.01953125</v>
      </c>
      <c r="F83" s="10">
        <f t="shared" si="3"/>
        <v>15479.47094921863</v>
      </c>
      <c r="G83" s="10">
        <f t="shared" si="4"/>
        <v>14905.234037823651</v>
      </c>
      <c r="H83" s="10">
        <f t="shared" si="5"/>
        <v>16179.34426579343</v>
      </c>
    </row>
    <row r="84" spans="1:8" x14ac:dyDescent="0.2">
      <c r="A84" s="5">
        <v>82</v>
      </c>
      <c r="B84" s="4">
        <v>5.7586647570133209E-2</v>
      </c>
      <c r="C84" s="6">
        <v>13640.6193150483</v>
      </c>
      <c r="D84" s="6">
        <v>13137.431640625</v>
      </c>
      <c r="E84" s="6">
        <v>14259.5732421875</v>
      </c>
      <c r="F84" s="10">
        <f t="shared" si="3"/>
        <v>15739.264619118936</v>
      </c>
      <c r="G84" s="10">
        <f t="shared" si="4"/>
        <v>15158.660192156425</v>
      </c>
      <c r="H84" s="10">
        <f t="shared" si="5"/>
        <v>16453.446242495782</v>
      </c>
    </row>
    <row r="85" spans="1:8" x14ac:dyDescent="0.2">
      <c r="A85" s="5">
        <v>83</v>
      </c>
      <c r="B85" s="4">
        <v>6.3597910106182098E-2</v>
      </c>
      <c r="C85" s="6">
        <v>13863.075900637899</v>
      </c>
      <c r="D85" s="6">
        <v>13357.26953125</v>
      </c>
      <c r="E85" s="6">
        <v>14490.5263671875</v>
      </c>
      <c r="F85" s="10">
        <f t="shared" si="3"/>
        <v>15995.946737869788</v>
      </c>
      <c r="G85" s="10">
        <f t="shared" si="4"/>
        <v>15412.320722806866</v>
      </c>
      <c r="H85" s="10">
        <f t="shared" si="5"/>
        <v>16719.932115683172</v>
      </c>
    </row>
    <row r="86" spans="1:8" x14ac:dyDescent="0.2">
      <c r="A86" s="5">
        <v>84</v>
      </c>
      <c r="B86" s="4">
        <v>7.0988491177558899E-2</v>
      </c>
      <c r="C86" s="6">
        <v>14091.1615805245</v>
      </c>
      <c r="D86" s="6">
        <v>13541.25390625</v>
      </c>
      <c r="E86" s="6">
        <v>14733.2333984375</v>
      </c>
      <c r="F86" s="10">
        <f t="shared" si="3"/>
        <v>16259.12400194067</v>
      </c>
      <c r="G86" s="10">
        <f t="shared" si="4"/>
        <v>15624.611579770639</v>
      </c>
      <c r="H86" s="10">
        <f t="shared" si="5"/>
        <v>16999.980264637103</v>
      </c>
    </row>
    <row r="87" spans="1:8" x14ac:dyDescent="0.2">
      <c r="A87" s="5">
        <v>85</v>
      </c>
      <c r="B87" s="4">
        <v>7.8467108309268951E-2</v>
      </c>
      <c r="C87" s="6">
        <v>14307.1545539704</v>
      </c>
      <c r="D87" s="6">
        <v>13705.650390625</v>
      </c>
      <c r="E87" s="6">
        <v>14956.25</v>
      </c>
      <c r="F87" s="10">
        <f t="shared" si="3"/>
        <v>16508.348064750266</v>
      </c>
      <c r="G87" s="10">
        <f t="shared" si="4"/>
        <v>15814.30089740862</v>
      </c>
      <c r="H87" s="10">
        <f t="shared" si="5"/>
        <v>17257.308559297187</v>
      </c>
    </row>
    <row r="88" spans="1:8" x14ac:dyDescent="0.2">
      <c r="A88" s="5">
        <v>86</v>
      </c>
      <c r="B88" s="4">
        <v>8.825431764125824E-2</v>
      </c>
      <c r="C88" s="6">
        <v>14307.1545539704</v>
      </c>
      <c r="D88" s="6">
        <v>13705.650390625</v>
      </c>
      <c r="E88" s="6">
        <v>14956.25</v>
      </c>
      <c r="F88" s="10">
        <f t="shared" si="3"/>
        <v>16508.348064750266</v>
      </c>
      <c r="G88" s="10">
        <f t="shared" si="4"/>
        <v>15814.30089740862</v>
      </c>
      <c r="H88" s="10">
        <f t="shared" si="5"/>
        <v>17257.308559297187</v>
      </c>
    </row>
    <row r="89" spans="1:8" x14ac:dyDescent="0.2">
      <c r="A89" s="5">
        <v>87</v>
      </c>
      <c r="B89" s="4">
        <v>9.9056705832481384E-2</v>
      </c>
      <c r="C89" s="6">
        <v>14307.1545539704</v>
      </c>
      <c r="D89" s="6">
        <v>13705.650390625</v>
      </c>
      <c r="E89" s="6">
        <v>14956.25</v>
      </c>
      <c r="F89" s="10">
        <f t="shared" si="3"/>
        <v>16508.348064750266</v>
      </c>
      <c r="G89" s="10">
        <f t="shared" si="4"/>
        <v>15814.30089740862</v>
      </c>
      <c r="H89" s="10">
        <f t="shared" si="5"/>
        <v>17257.308559297187</v>
      </c>
    </row>
    <row r="90" spans="1:8" x14ac:dyDescent="0.2">
      <c r="A90" s="5">
        <v>88</v>
      </c>
      <c r="B90" s="4">
        <v>0.11092773824930191</v>
      </c>
      <c r="C90" s="6">
        <v>14307.1545539704</v>
      </c>
      <c r="D90" s="6">
        <v>13705.650390625</v>
      </c>
      <c r="E90" s="6">
        <v>14956.25</v>
      </c>
      <c r="F90" s="10">
        <f t="shared" si="3"/>
        <v>16508.348064750266</v>
      </c>
      <c r="G90" s="10">
        <f t="shared" si="4"/>
        <v>15814.30089740862</v>
      </c>
      <c r="H90" s="10">
        <f t="shared" si="5"/>
        <v>17257.308559297187</v>
      </c>
    </row>
    <row r="91" spans="1:8" x14ac:dyDescent="0.2">
      <c r="A91" s="5">
        <v>89</v>
      </c>
      <c r="B91" s="4">
        <v>0.12391083687543869</v>
      </c>
      <c r="C91" s="6">
        <v>14307.1545539704</v>
      </c>
      <c r="D91" s="6">
        <v>13705.650390625</v>
      </c>
      <c r="E91" s="6">
        <v>14956.25</v>
      </c>
      <c r="F91" s="10">
        <f t="shared" si="3"/>
        <v>16508.348064750266</v>
      </c>
      <c r="G91" s="10">
        <f t="shared" si="4"/>
        <v>15814.30089740862</v>
      </c>
      <c r="H91" s="10">
        <f t="shared" si="5"/>
        <v>17257.308559297187</v>
      </c>
    </row>
    <row r="92" spans="1:8" x14ac:dyDescent="0.2">
      <c r="A92" s="5">
        <v>90</v>
      </c>
      <c r="B92" s="4">
        <v>0.13803607225418091</v>
      </c>
      <c r="C92" s="6">
        <v>14307.1545539704</v>
      </c>
      <c r="D92" s="6">
        <v>13705.650390625</v>
      </c>
      <c r="E92" s="6">
        <v>14956.25</v>
      </c>
      <c r="F92" s="10">
        <f t="shared" si="3"/>
        <v>16508.348064750266</v>
      </c>
      <c r="G92" s="10">
        <f t="shared" si="4"/>
        <v>15814.30089740862</v>
      </c>
      <c r="H92" s="10">
        <f t="shared" si="5"/>
        <v>17257.308559297187</v>
      </c>
    </row>
    <row r="93" spans="1:8" x14ac:dyDescent="0.2">
      <c r="A93" s="5">
        <v>91</v>
      </c>
      <c r="B93" s="4">
        <v>0.15331666171550751</v>
      </c>
      <c r="C93" s="6">
        <v>14307.1545539704</v>
      </c>
      <c r="D93" s="6">
        <v>13705.650390625</v>
      </c>
      <c r="E93" s="6">
        <v>14956.25</v>
      </c>
      <c r="F93" s="10">
        <f t="shared" si="3"/>
        <v>16508.348064750266</v>
      </c>
      <c r="G93" s="10">
        <f t="shared" si="4"/>
        <v>15814.30089740862</v>
      </c>
      <c r="H93" s="10">
        <f t="shared" si="5"/>
        <v>17257.308559297187</v>
      </c>
    </row>
    <row r="94" spans="1:8" x14ac:dyDescent="0.2">
      <c r="A94" s="5">
        <v>92</v>
      </c>
      <c r="B94" s="4">
        <v>0.16974563896656036</v>
      </c>
      <c r="C94" s="6">
        <v>14307.1545539704</v>
      </c>
      <c r="D94" s="6">
        <v>13705.650390625</v>
      </c>
      <c r="E94" s="6">
        <v>14956.25</v>
      </c>
      <c r="F94" s="10">
        <f t="shared" si="3"/>
        <v>16508.348064750266</v>
      </c>
      <c r="G94" s="10">
        <f t="shared" si="4"/>
        <v>15814.30089740862</v>
      </c>
      <c r="H94" s="10">
        <f t="shared" si="5"/>
        <v>17257.308559297187</v>
      </c>
    </row>
    <row r="95" spans="1:8" x14ac:dyDescent="0.2">
      <c r="A95" s="5">
        <v>93</v>
      </c>
      <c r="B95" s="4">
        <v>0.18729279935359955</v>
      </c>
      <c r="C95" s="6">
        <v>14307.1545539704</v>
      </c>
      <c r="D95" s="6">
        <v>13705.650390625</v>
      </c>
      <c r="E95" s="6">
        <v>14956.25</v>
      </c>
      <c r="F95" s="10">
        <f t="shared" si="3"/>
        <v>16508.348064750266</v>
      </c>
      <c r="G95" s="10">
        <f t="shared" si="4"/>
        <v>15814.30089740862</v>
      </c>
      <c r="H95" s="10">
        <f t="shared" si="5"/>
        <v>17257.308559297187</v>
      </c>
    </row>
    <row r="96" spans="1:8" x14ac:dyDescent="0.2">
      <c r="A96" s="5">
        <v>94</v>
      </c>
      <c r="B96" s="4">
        <v>0.20590226352214813</v>
      </c>
      <c r="C96" s="6">
        <v>14307.1545539704</v>
      </c>
      <c r="D96" s="6">
        <v>13705.650390625</v>
      </c>
      <c r="E96" s="6">
        <v>14956.25</v>
      </c>
      <c r="F96" s="10">
        <f t="shared" si="3"/>
        <v>16508.348064750266</v>
      </c>
      <c r="G96" s="10">
        <f t="shared" si="4"/>
        <v>15814.30089740862</v>
      </c>
      <c r="H96" s="10">
        <f t="shared" si="5"/>
        <v>17257.308559297187</v>
      </c>
    </row>
    <row r="97" spans="1:8" x14ac:dyDescent="0.2">
      <c r="A97" s="5">
        <v>95</v>
      </c>
      <c r="B97" s="4">
        <v>0.225491002202034</v>
      </c>
      <c r="C97" s="6">
        <v>14307.1545539704</v>
      </c>
      <c r="D97" s="6">
        <v>13705.650390625</v>
      </c>
      <c r="E97" s="6">
        <v>14956.25</v>
      </c>
      <c r="F97" s="10">
        <f t="shared" si="3"/>
        <v>16508.348064750266</v>
      </c>
      <c r="G97" s="10">
        <f t="shared" si="4"/>
        <v>15814.30089740862</v>
      </c>
      <c r="H97" s="10">
        <f t="shared" si="5"/>
        <v>17257.308559297187</v>
      </c>
    </row>
    <row r="98" spans="1:8" x14ac:dyDescent="0.2">
      <c r="A98" s="5">
        <v>96</v>
      </c>
      <c r="B98" s="4">
        <v>0.24594856798648834</v>
      </c>
      <c r="C98" s="6">
        <v>14307.1545539704</v>
      </c>
      <c r="D98" s="6">
        <v>13705.650390625</v>
      </c>
      <c r="E98" s="6">
        <v>14956.25</v>
      </c>
      <c r="F98" s="10">
        <f t="shared" si="3"/>
        <v>16508.348064750266</v>
      </c>
      <c r="G98" s="10">
        <f t="shared" si="4"/>
        <v>15814.30089740862</v>
      </c>
      <c r="H98" s="10">
        <f t="shared" si="5"/>
        <v>17257.308559297187</v>
      </c>
    </row>
    <row r="99" spans="1:8" x14ac:dyDescent="0.2">
      <c r="A99" s="5">
        <v>97</v>
      </c>
      <c r="B99" s="4">
        <v>0.26713833212852478</v>
      </c>
      <c r="C99" s="6">
        <v>14307.1545539704</v>
      </c>
      <c r="D99" s="6">
        <v>13705.650390625</v>
      </c>
      <c r="E99" s="6">
        <v>14956.25</v>
      </c>
      <c r="F99" s="10">
        <f t="shared" si="3"/>
        <v>16508.348064750266</v>
      </c>
      <c r="G99" s="10">
        <f t="shared" si="4"/>
        <v>15814.30089740862</v>
      </c>
      <c r="H99" s="10">
        <f t="shared" si="5"/>
        <v>17257.308559297187</v>
      </c>
    </row>
    <row r="100" spans="1:8" x14ac:dyDescent="0.2">
      <c r="A100" s="5">
        <v>98</v>
      </c>
      <c r="B100" s="4">
        <v>0.28890004754066467</v>
      </c>
      <c r="C100" s="6">
        <v>14307.1545539704</v>
      </c>
      <c r="D100" s="6">
        <v>13705.650390625</v>
      </c>
      <c r="E100" s="6">
        <v>14956.25</v>
      </c>
      <c r="F100" s="10">
        <f t="shared" si="3"/>
        <v>16508.348064750266</v>
      </c>
      <c r="G100" s="10">
        <f t="shared" si="4"/>
        <v>15814.30089740862</v>
      </c>
      <c r="H100" s="10">
        <f t="shared" si="5"/>
        <v>17257.308559297187</v>
      </c>
    </row>
    <row r="101" spans="1:8" x14ac:dyDescent="0.2">
      <c r="A101" s="5">
        <v>99</v>
      </c>
      <c r="B101" s="4">
        <v>0.31105437874794006</v>
      </c>
      <c r="C101" s="6">
        <v>14307.1545539704</v>
      </c>
      <c r="D101" s="6">
        <v>13705.650390625</v>
      </c>
      <c r="E101" s="6">
        <v>14956.25</v>
      </c>
      <c r="F101" s="10">
        <f t="shared" si="3"/>
        <v>16508.348064750266</v>
      </c>
      <c r="G101" s="10">
        <f t="shared" si="4"/>
        <v>15814.30089740862</v>
      </c>
      <c r="H101" s="10">
        <f t="shared" si="5"/>
        <v>17257.308559297187</v>
      </c>
    </row>
    <row r="102" spans="1:8" x14ac:dyDescent="0.2">
      <c r="A102" s="5">
        <v>100</v>
      </c>
      <c r="B102" s="12">
        <v>1</v>
      </c>
      <c r="C102" s="6">
        <v>14307.1545539704</v>
      </c>
      <c r="D102" s="6">
        <v>13705.650390625</v>
      </c>
      <c r="E102" s="6">
        <v>14956.25</v>
      </c>
      <c r="F102" s="10">
        <f t="shared" si="3"/>
        <v>16508.348064750266</v>
      </c>
      <c r="G102" s="10">
        <f t="shared" si="4"/>
        <v>15814.30089740862</v>
      </c>
      <c r="H102" s="10">
        <f t="shared" si="5"/>
        <v>17257.308559297187</v>
      </c>
    </row>
    <row r="103" spans="1:8" ht="14.5" customHeight="1" x14ac:dyDescent="0.2">
      <c r="A103" s="11" t="s">
        <v>7</v>
      </c>
      <c r="B103" s="11"/>
      <c r="C103" s="2"/>
      <c r="D103" s="2"/>
      <c r="E103" s="2"/>
      <c r="F103" s="9"/>
      <c r="G103" s="9"/>
      <c r="H103" s="9"/>
    </row>
    <row r="104" spans="1:8" x14ac:dyDescent="0.2">
      <c r="A104" s="1" t="inlineStr">
        <is>
          <t>2025 USD = 2019 USD x (PHC 2024 / PHC 2019) x (PCE-Health 2025 / PCE-Health 2024) = x (116.0 / 103.0) x (118.896 / 116.048). PHC: MEPS price index table (2017=100); PCE-Health: BEA via FRED DHLTRG3A086NBEA (2017=100).</t>
        </is>
      </c>
      <c r="B104" s="1"/>
    </row>
  </sheetData>
  <mergeCells count="1">
    <mergeCell ref="A103:B10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2026-08-27T17:57:38Z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2021-08-17T16:42:27Z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85e83769-5eb0-405b-8495-2bb6038e4951</vt:lpwstr>
  </property>
  <property fmtid="{D5CDD505-2E9C-101B-9397-08002B2CF9AE}" pid="8" name="MSIP_Label_7b94a7b8-f06c-4dfe-bdcc-9b548fd58c31_ContentBits">
    <vt:lpwstr>0</vt:lpwstr>
  </property>
</Properties>
</file>